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13_ncr:1_{82142E6B-E3F0-4C8C-A2D7-C74E1CAEBF47}" xr6:coauthVersionLast="47" xr6:coauthVersionMax="47" xr10:uidLastSave="{00000000-0000-0000-0000-000000000000}"/>
  <bookViews>
    <workbookView xWindow="3948" yWindow="3924" windowWidth="17280" windowHeight="8880" firstSheet="1" activeTab="3" xr2:uid="{00000000-000D-0000-FFFF-FFFF00000000}"/>
  </bookViews>
  <sheets>
    <sheet name="Basic Pay" sheetId="1" r:id="rId1"/>
    <sheet name="HRA" sheetId="2" r:id="rId2"/>
    <sheet name="DA" sheetId="3" r:id="rId3"/>
    <sheet name="Gross sal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2" i="4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<sst xmlns="http://schemas.openxmlformats.org/spreadsheetml/2006/main" count="43" uniqueCount="19">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</sst>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D6" sqref="D6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3" t="s">
        <v>0</v>
      </c>
      <c r="C3" s="3"/>
      <c r="D3" s="3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D5" sqref="D5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13</v>
      </c>
      <c r="C3" s="4"/>
      <c r="D3" s="4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>
        <f>('Basic Pay'!D5+DA!D5)*50%</f>
        <v>2520</v>
      </c>
    </row>
    <row r="6" spans="2:4" x14ac:dyDescent="0.25">
      <c r="B6" s="1">
        <v>5003</v>
      </c>
      <c r="C6" s="1" t="s">
        <v>4</v>
      </c>
      <c r="D6" s="1">
        <f>('Basic Pay'!D6+DA!D6)*50%</f>
        <v>1400</v>
      </c>
    </row>
    <row r="7" spans="2:4" x14ac:dyDescent="0.25">
      <c r="B7" s="1">
        <v>5098</v>
      </c>
      <c r="C7" s="1" t="s">
        <v>5</v>
      </c>
      <c r="D7" s="1">
        <f>('Basic Pay'!D7+DA!D7)*50%</f>
        <v>2520</v>
      </c>
    </row>
    <row r="8" spans="2:4" x14ac:dyDescent="0.25">
      <c r="B8" s="1">
        <v>5689</v>
      </c>
      <c r="C8" s="1" t="s">
        <v>6</v>
      </c>
      <c r="D8" s="1">
        <f>('Basic Pay'!D8+DA!D8)*50%</f>
        <v>1792</v>
      </c>
    </row>
    <row r="9" spans="2:4" x14ac:dyDescent="0.25">
      <c r="B9" s="1">
        <v>5764</v>
      </c>
      <c r="C9" s="1" t="s">
        <v>7</v>
      </c>
      <c r="D9" s="1">
        <f>('Basic Pay'!D9+DA!D9)*50%</f>
        <v>684.88</v>
      </c>
    </row>
    <row r="10" spans="2:4" x14ac:dyDescent="0.25">
      <c r="B10" s="1">
        <v>5091</v>
      </c>
      <c r="C10" s="1" t="s">
        <v>8</v>
      </c>
      <c r="D10" s="1">
        <f>('Basic Pay'!D10+DA!D10)*50%</f>
        <v>4418.3999999999996</v>
      </c>
    </row>
    <row r="11" spans="2:4" x14ac:dyDescent="0.25">
      <c r="B11" s="1">
        <v>5673</v>
      </c>
      <c r="C11" s="1" t="s">
        <v>9</v>
      </c>
      <c r="D11" s="1">
        <f>('Basic Pay'!D11+DA!D11)*50%</f>
        <v>3640</v>
      </c>
    </row>
    <row r="12" spans="2:4" x14ac:dyDescent="0.25">
      <c r="B12" s="1">
        <v>5901</v>
      </c>
      <c r="C12" s="1" t="s">
        <v>10</v>
      </c>
      <c r="D12" s="1">
        <f>('Basic Pay'!D12+DA!D12)*50%</f>
        <v>3068.24</v>
      </c>
    </row>
    <row r="13" spans="2:4" x14ac:dyDescent="0.25">
      <c r="B13" s="1">
        <v>5764</v>
      </c>
      <c r="C13" s="1" t="s">
        <v>11</v>
      </c>
      <c r="D13" s="1">
        <f>('Basic Pay'!D13+DA!D13)*50%</f>
        <v>1935.36</v>
      </c>
    </row>
    <row r="14" spans="2:4" x14ac:dyDescent="0.25">
      <c r="B14" s="1">
        <v>5555</v>
      </c>
      <c r="C14" s="1" t="s">
        <v>12</v>
      </c>
      <c r="D14" s="1">
        <f>('Basic Pay'!D14+DA!D14)*50%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D5" sqref="D5:D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5" t="s">
        <v>16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>
        <f>'Basic Pay'!D5*12%</f>
        <v>540</v>
      </c>
    </row>
    <row r="6" spans="2:4" x14ac:dyDescent="0.25">
      <c r="B6" s="1">
        <v>5003</v>
      </c>
      <c r="C6" s="1" t="s">
        <v>4</v>
      </c>
      <c r="D6" s="1">
        <f>'Basic Pay'!D6*12%</f>
        <v>300</v>
      </c>
    </row>
    <row r="7" spans="2:4" x14ac:dyDescent="0.25">
      <c r="B7" s="1">
        <v>5098</v>
      </c>
      <c r="C7" s="1" t="s">
        <v>5</v>
      </c>
      <c r="D7" s="1">
        <f>'Basic Pay'!D7*12%</f>
        <v>540</v>
      </c>
    </row>
    <row r="8" spans="2:4" x14ac:dyDescent="0.25">
      <c r="B8" s="1">
        <v>5689</v>
      </c>
      <c r="C8" s="1" t="s">
        <v>6</v>
      </c>
      <c r="D8" s="1">
        <f>'Basic Pay'!D8*12%</f>
        <v>384</v>
      </c>
    </row>
    <row r="9" spans="2:4" x14ac:dyDescent="0.25">
      <c r="B9" s="1">
        <v>5764</v>
      </c>
      <c r="C9" s="1" t="s">
        <v>7</v>
      </c>
      <c r="D9" s="1">
        <f>'Basic Pay'!D9*12%</f>
        <v>146.76</v>
      </c>
    </row>
    <row r="10" spans="2:4" x14ac:dyDescent="0.25">
      <c r="B10" s="1">
        <v>5091</v>
      </c>
      <c r="C10" s="1" t="s">
        <v>8</v>
      </c>
      <c r="D10" s="1">
        <f>'Basic Pay'!D10*12%</f>
        <v>946.8</v>
      </c>
    </row>
    <row r="11" spans="2:4" x14ac:dyDescent="0.25">
      <c r="B11" s="1">
        <v>5673</v>
      </c>
      <c r="C11" s="1" t="s">
        <v>9</v>
      </c>
      <c r="D11" s="1">
        <f>'Basic Pay'!D11*12%</f>
        <v>780</v>
      </c>
    </row>
    <row r="12" spans="2:4" x14ac:dyDescent="0.25">
      <c r="B12" s="1">
        <v>5901</v>
      </c>
      <c r="C12" s="1" t="s">
        <v>10</v>
      </c>
      <c r="D12" s="1">
        <f>'Basic Pay'!D12*12%</f>
        <v>657.48</v>
      </c>
    </row>
    <row r="13" spans="2:4" x14ac:dyDescent="0.25">
      <c r="B13" s="1">
        <v>5764</v>
      </c>
      <c r="C13" s="1" t="s">
        <v>11</v>
      </c>
      <c r="D13" s="1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1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7431-84C7-4120-BA5B-5EE536858ACB}">
  <dimension ref="A1:A11"/>
  <sheetViews>
    <sheetView tabSelected="1" workbookViewId="0"/>
  </sheetViews>
  <sheetFormatPr defaultRowHeight="13.2" x14ac:dyDescent="0.25"/>
  <cols>
    <col min="1" max="1" width="12.33203125" bestFit="1" customWidth="1"/>
  </cols>
  <sheetData>
    <row r="1" spans="1:1" x14ac:dyDescent="0.25">
      <c r="A1" s="6" t="s">
        <v>18</v>
      </c>
    </row>
    <row r="2" spans="1:1" x14ac:dyDescent="0.25">
      <c r="A2">
        <f>'Basic Pay'!D5+HRA!D5+DA!D5</f>
        <v>7560</v>
      </c>
    </row>
    <row r="3" spans="1:1" x14ac:dyDescent="0.25">
      <c r="A3">
        <f>'Basic Pay'!D6+HRA!D6+DA!D6</f>
        <v>4200</v>
      </c>
    </row>
    <row r="4" spans="1:1" x14ac:dyDescent="0.25">
      <c r="A4">
        <f>'Basic Pay'!D7+HRA!D7+DA!D7</f>
        <v>7560</v>
      </c>
    </row>
    <row r="5" spans="1:1" x14ac:dyDescent="0.25">
      <c r="A5">
        <f>'Basic Pay'!D8+HRA!D8+DA!D8</f>
        <v>5376</v>
      </c>
    </row>
    <row r="6" spans="1:1" x14ac:dyDescent="0.25">
      <c r="A6">
        <f>'Basic Pay'!D9+HRA!D9+DA!D9</f>
        <v>2054.6400000000003</v>
      </c>
    </row>
    <row r="7" spans="1:1" x14ac:dyDescent="0.25">
      <c r="A7">
        <f>'Basic Pay'!D10+HRA!D10+DA!D10</f>
        <v>13255.199999999999</v>
      </c>
    </row>
    <row r="8" spans="1:1" x14ac:dyDescent="0.25">
      <c r="A8">
        <f>'Basic Pay'!D11+HRA!D11+DA!D11</f>
        <v>10920</v>
      </c>
    </row>
    <row r="9" spans="1:1" x14ac:dyDescent="0.25">
      <c r="A9">
        <f>'Basic Pay'!D12+HRA!D12+DA!D12</f>
        <v>9204.7199999999993</v>
      </c>
    </row>
    <row r="10" spans="1:1" x14ac:dyDescent="0.25">
      <c r="A10">
        <f>'Basic Pay'!D13+HRA!D13+DA!D13</f>
        <v>5806.08</v>
      </c>
    </row>
    <row r="11" spans="1:1" x14ac:dyDescent="0.25">
      <c r="A11">
        <f>'Basic Pay'!D14+HRA!D14+DA!D14</f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ANURAG KUSHWAHA</cp:lastModifiedBy>
  <dcterms:created xsi:type="dcterms:W3CDTF">2007-12-11T14:17:32Z</dcterms:created>
  <dcterms:modified xsi:type="dcterms:W3CDTF">2025-12-30T06:43:05Z</dcterms:modified>
</cp:coreProperties>
</file>